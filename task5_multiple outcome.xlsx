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60" windowHeight="1448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<sst xmlns="http://schemas.openxmlformats.org/spreadsheetml/2006/main" count="54" uniqueCount="34">
  <si>
    <t>Simulated Annual Demand Path (Mean Targets)</t>
  </si>
  <si>
    <t>[80000, 100000, 110000, 120000, 110000]</t>
  </si>
  <si>
    <t>[80000, 90000, 110000, 120000, 150000]</t>
  </si>
  <si>
    <t>[60000, 65000, 70000, 75000, 60000]</t>
  </si>
  <si>
    <t>[50000, 65000, 75000, 80000, 90000]</t>
  </si>
  <si>
    <t>[60000, 65000, 60000, 60000, 65000]</t>
  </si>
  <si>
    <t>A_T5_STRAWMAN SUMMARY --- (Includes T7 Objective)</t>
  </si>
  <si>
    <t xml:space="preserve">  [T5 Metrics (Fee-Based)]</t>
  </si>
  <si>
    <t xml:space="preserve">  Overall Service Level:</t>
  </si>
  <si>
    <t xml:space="preserve">  Minimum Daily SL</t>
  </si>
  <si>
    <t xml:space="preserve">  Days Breaching SLA Target</t>
  </si>
  <si>
    <t xml:space="preserve">  Total Revenue (Fee-Based)</t>
  </si>
  <si>
    <t xml:space="preserve">  Volume Utilization (Overall)</t>
  </si>
  <si>
    <t xml:space="preserve">  ------------------------------------------</t>
  </si>
  <si>
    <t xml:space="preserve">  [T7 Metrics (Economics-Based)]</t>
  </si>
  <si>
    <t xml:space="preserve">  Revenue (T7 Model)</t>
  </si>
  <si>
    <t xml:space="preserve">  Total Cost (Ergo + Amort. CAPEX)</t>
  </si>
  <si>
    <t xml:space="preserve">  PROFIT (T7 Model)</t>
  </si>
  <si>
    <t xml:space="preserve">  Oversize Rate</t>
  </si>
  <si>
    <t xml:space="preserve">  FINAL OBJECTIVE SCORE</t>
  </si>
  <si>
    <t>--- B_T5_SMARTER SUMMARY --- (Includes T7 Objective)</t>
  </si>
  <si>
    <t xml:space="preserve">  Overall Service Level</t>
  </si>
  <si>
    <t>Strawman Volume Utilization (Overall)</t>
  </si>
  <si>
    <t>Strawman Revenue (T7 Model)</t>
  </si>
  <si>
    <t>Strawman Total Cost (Ergo + Amort. CAPEX)</t>
  </si>
  <si>
    <t>Strawman PROFIT (T7 Model)</t>
  </si>
  <si>
    <t>Strawman Oversize Rate</t>
  </si>
  <si>
    <t>Strawman FINAL OBJECTIVE SCORE</t>
  </si>
  <si>
    <t>Smart Volume Utilization (Overall)</t>
  </si>
  <si>
    <t>Smart Revenue (T7 Model)</t>
  </si>
  <si>
    <t>Smart Total Cost (Ergo + Amort. CAPEX)</t>
  </si>
  <si>
    <t>Smart PROFIT (T7 Model)</t>
  </si>
  <si>
    <t>Smart Oversize Rate</t>
  </si>
  <si>
    <t>Smart FINAL OBJECTIVE SCORE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</si>
</sst>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Aptos Narrow"/>
      <charset val="134"/>
      <scheme val="minor"/>
    </font>
    <font>
      <sz val="13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0" fillId="0" borderId="0" xfId="0" applyFont="1"/>
    <xf numFmtId="8" fontId="1" fillId="0" borderId="0" xfId="0" applyNumberFormat="1" applyFont="1"/>
    <xf numFmtId="4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Utilization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Strawman Volume Utilization (Overall)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Sheet2!$D$2:$D$6</c:f>
              <c:numCache>
                <c:formatCode>0.00%</c:formatCode>
                <c:ptCount val="5"/>
                <c:pt idx="0">
                  <c:v>0.6969</c:v>
                </c:pt>
                <c:pt idx="1">
                  <c:v>0.6956</c:v>
                </c:pt>
                <c:pt idx="2">
                  <c:v>0.7003</c:v>
                </c:pt>
                <c:pt idx="3">
                  <c:v>0.6997</c:v>
                </c:pt>
                <c:pt idx="4">
                  <c:v>0.7013</c:v>
                </c:pt>
              </c:numCache>
            </c:numRef>
          </c:val>
        </c:ser>
        <c:ser>
          <c:idx val="1"/>
          <c:order val="1"/>
          <c:tx>
            <c:strRef>
              <c:f>Sheet2!$O$1</c:f>
              <c:strCache>
                <c:ptCount val="1"/>
                <c:pt idx="0">
                  <c:v>Smart Volume Utilization (Overall)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Sheet2!$O$2:$O$6</c:f>
              <c:numCache>
                <c:formatCode>0.00%</c:formatCode>
                <c:ptCount val="5"/>
                <c:pt idx="0">
                  <c:v>0.6958</c:v>
                </c:pt>
                <c:pt idx="1">
                  <c:v>0.6949</c:v>
                </c:pt>
                <c:pt idx="2">
                  <c:v>0.6995</c:v>
                </c:pt>
                <c:pt idx="3">
                  <c:v>0.6986</c:v>
                </c:pt>
                <c:pt idx="4">
                  <c:v>0.7005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914068"/>
        <c:axId val="589883802"/>
      </c:barChart>
      <c:catAx>
        <c:axId val="18691406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883802"/>
        <c:crosses val="autoZero"/>
        <c:auto val="1"/>
        <c:lblAlgn val="ctr"/>
        <c:lblOffset val="100"/>
        <c:noMultiLvlLbl val="0"/>
      </c:catAx>
      <c:valAx>
        <c:axId val="58988380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9140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Strawman Revenue (T7 Model)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Sheet2!$F$2:$F$6</c:f>
              <c:numCache>
                <c:formatCode>"$"#,##0.00_);[Red]\("$"#,##0.00\)</c:formatCode>
                <c:ptCount val="5"/>
                <c:pt idx="0">
                  <c:v>5716148.2</c:v>
                </c:pt>
                <c:pt idx="1">
                  <c:v>5809014.2</c:v>
                </c:pt>
                <c:pt idx="2">
                  <c:v>3769679.35</c:v>
                </c:pt>
                <c:pt idx="3">
                  <c:v>3902090.65</c:v>
                </c:pt>
                <c:pt idx="4">
                  <c:v>3283558.85</c:v>
                </c:pt>
              </c:numCache>
            </c:numRef>
          </c:val>
        </c:ser>
        <c:ser>
          <c:idx val="1"/>
          <c:order val="1"/>
          <c:tx>
            <c:strRef>
              <c:f>Sheet2!$Q$1</c:f>
              <c:strCache>
                <c:ptCount val="1"/>
                <c:pt idx="0">
                  <c:v>Smart Revenue (T7 Model)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Sheet2!$Q$2:$Q$6</c:f>
              <c:numCache>
                <c:formatCode>"$"#,##0.00_);[Red]\("$"#,##0.00\)</c:formatCode>
                <c:ptCount val="5"/>
                <c:pt idx="0">
                  <c:v>5653971.95</c:v>
                </c:pt>
                <c:pt idx="1">
                  <c:v>5748059.85</c:v>
                </c:pt>
                <c:pt idx="2">
                  <c:v>3752902.9</c:v>
                </c:pt>
                <c:pt idx="3">
                  <c:v>3879728.2</c:v>
                </c:pt>
                <c:pt idx="4">
                  <c:v>3275310.85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5585682"/>
        <c:axId val="893812141"/>
      </c:barChart>
      <c:catAx>
        <c:axId val="39558568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812141"/>
        <c:crosses val="autoZero"/>
        <c:auto val="1"/>
        <c:lblAlgn val="ctr"/>
        <c:lblOffset val="100"/>
        <c:noMultiLvlLbl val="0"/>
      </c:catAx>
      <c:valAx>
        <c:axId val="893812141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58568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Total Cost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Strawman Total Cost (Ergo + Amort. CAPEX)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Sheet2!$H$2:$H$6</c:f>
              <c:numCache>
                <c:formatCode>"$"#,##0.00_);[Red]\("$"#,##0.00\)</c:formatCode>
                <c:ptCount val="5"/>
                <c:pt idx="0">
                  <c:v>611400.23</c:v>
                </c:pt>
                <c:pt idx="1">
                  <c:v>616437.6</c:v>
                </c:pt>
                <c:pt idx="2">
                  <c:v>518260.21</c:v>
                </c:pt>
                <c:pt idx="3">
                  <c:v>524699.16</c:v>
                </c:pt>
                <c:pt idx="4">
                  <c:v>495348.96</c:v>
                </c:pt>
              </c:numCache>
            </c:numRef>
          </c:val>
        </c:ser>
        <c:ser>
          <c:idx val="1"/>
          <c:order val="1"/>
          <c:tx>
            <c:strRef>
              <c:f>Sheet2!$S$1</c:f>
              <c:strCache>
                <c:ptCount val="1"/>
                <c:pt idx="0">
                  <c:v>Smart Total Cost (Ergo + Amort. CAPEX)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Sheet2!$S$2:$S$6</c:f>
              <c:numCache>
                <c:formatCode>"$"#,##0.00_);[Red]\("$"#,##0.00\)</c:formatCode>
                <c:ptCount val="5"/>
                <c:pt idx="0">
                  <c:v>616539.33</c:v>
                </c:pt>
                <c:pt idx="1">
                  <c:v>621369.07</c:v>
                </c:pt>
                <c:pt idx="2">
                  <c:v>521080.33</c:v>
                </c:pt>
                <c:pt idx="3">
                  <c:v>528037.27</c:v>
                </c:pt>
                <c:pt idx="4">
                  <c:v>497230.53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953255"/>
        <c:axId val="208878499"/>
      </c:barChart>
      <c:catAx>
        <c:axId val="36795325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878499"/>
        <c:crosses val="autoZero"/>
        <c:auto val="1"/>
        <c:lblAlgn val="ctr"/>
        <c:lblOffset val="100"/>
        <c:noMultiLvlLbl val="0"/>
      </c:catAx>
      <c:valAx>
        <c:axId val="208878499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9532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Profit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Strawman PROFIT (T7 Model)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Sheet2!$I$2:$I$6</c:f>
              <c:numCache>
                <c:formatCode>"$"#,##0.00_);[Red]\("$"#,##0.00\)</c:formatCode>
                <c:ptCount val="5"/>
                <c:pt idx="0">
                  <c:v>5104747.97</c:v>
                </c:pt>
                <c:pt idx="1">
                  <c:v>5192576.6</c:v>
                </c:pt>
                <c:pt idx="2">
                  <c:v>3251419.14</c:v>
                </c:pt>
                <c:pt idx="3">
                  <c:v>3377391.49</c:v>
                </c:pt>
                <c:pt idx="4">
                  <c:v>2788209.89</c:v>
                </c:pt>
              </c:numCache>
            </c:numRef>
          </c:val>
        </c:ser>
        <c:ser>
          <c:idx val="1"/>
          <c:order val="1"/>
          <c:tx>
            <c:strRef>
              <c:f>Sheet2!$T$1</c:f>
              <c:strCache>
                <c:ptCount val="1"/>
                <c:pt idx="0">
                  <c:v>Smart PROFIT (T7 Model)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Sheet2!$T$2:$T$6</c:f>
              <c:numCache>
                <c:formatCode>"$"#,##0.00_);[Red]\("$"#,##0.00\)</c:formatCode>
                <c:ptCount val="5"/>
                <c:pt idx="0">
                  <c:v>5037432.62</c:v>
                </c:pt>
                <c:pt idx="1">
                  <c:v>5126690.78</c:v>
                </c:pt>
                <c:pt idx="2">
                  <c:v>3231822.57</c:v>
                </c:pt>
                <c:pt idx="3">
                  <c:v>3351690.93</c:v>
                </c:pt>
                <c:pt idx="4">
                  <c:v>2778080.32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0301443"/>
        <c:axId val="243489186"/>
      </c:barChart>
      <c:catAx>
        <c:axId val="95030144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489186"/>
        <c:crosses val="autoZero"/>
        <c:auto val="1"/>
        <c:lblAlgn val="ctr"/>
        <c:lblOffset val="100"/>
        <c:noMultiLvlLbl val="0"/>
      </c:catAx>
      <c:valAx>
        <c:axId val="243489186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3014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Oversize Rate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Strawman Oversize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Sheet2!$J$2:$J$6</c:f>
              <c:numCache>
                <c:formatCode>0.00%</c:formatCode>
                <c:ptCount val="5"/>
                <c:pt idx="0">
                  <c:v>0.0072</c:v>
                </c:pt>
                <c:pt idx="1">
                  <c:v>0.0088</c:v>
                </c:pt>
                <c:pt idx="2">
                  <c:v>0.0021</c:v>
                </c:pt>
                <c:pt idx="3">
                  <c:v>0.0025</c:v>
                </c:pt>
                <c:pt idx="4">
                  <c:v>0.0007</c:v>
                </c:pt>
              </c:numCache>
            </c:numRef>
          </c:val>
        </c:ser>
        <c:ser>
          <c:idx val="1"/>
          <c:order val="1"/>
          <c:tx>
            <c:strRef>
              <c:f>Sheet2!$U$1</c:f>
              <c:strCache>
                <c:ptCount val="1"/>
                <c:pt idx="0">
                  <c:v>Smart Oversize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Sheet2!$U$2:$U$6</c:f>
              <c:numCache>
                <c:formatCode>0.00%</c:formatCode>
                <c:ptCount val="5"/>
                <c:pt idx="0">
                  <c:v>0.0085</c:v>
                </c:pt>
                <c:pt idx="1">
                  <c:v>0.0095</c:v>
                </c:pt>
                <c:pt idx="2">
                  <c:v>0.0032</c:v>
                </c:pt>
                <c:pt idx="3">
                  <c:v>0.004</c:v>
                </c:pt>
                <c:pt idx="4">
                  <c:v>0.0018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845164"/>
        <c:axId val="368921256"/>
      </c:barChart>
      <c:catAx>
        <c:axId val="32845164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921256"/>
        <c:crosses val="autoZero"/>
        <c:auto val="1"/>
        <c:lblAlgn val="ctr"/>
        <c:lblOffset val="100"/>
        <c:noMultiLvlLbl val="0"/>
      </c:catAx>
      <c:valAx>
        <c:axId val="36892125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451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Final Objective Score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Sheet2!$L$1</c:f>
              <c:strCache>
                <c:ptCount val="1"/>
                <c:pt idx="0">
                  <c:v>Strawman FINAL OBJECTIVE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Sheet2!$L$2:$L$6</c:f>
              <c:numCache>
                <c:formatCode>#,##0.00</c:formatCode>
                <c:ptCount val="5"/>
                <c:pt idx="0">
                  <c:v>4490041.98</c:v>
                </c:pt>
                <c:pt idx="1">
                  <c:v>4357617.82</c:v>
                </c:pt>
                <c:pt idx="2">
                  <c:v>3241475.59</c:v>
                </c:pt>
                <c:pt idx="3">
                  <c:v>3317581.51</c:v>
                </c:pt>
                <c:pt idx="4">
                  <c:v>2780074.53</c:v>
                </c:pt>
              </c:numCache>
            </c:numRef>
          </c:val>
        </c:ser>
        <c:ser>
          <c:idx val="1"/>
          <c:order val="1"/>
          <c:tx>
            <c:strRef>
              <c:f>Sheet2!$W$1</c:f>
              <c:strCache>
                <c:ptCount val="1"/>
                <c:pt idx="0">
                  <c:v>Smart FINAL OBJECTIVE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Sheet2!$B$2:$B$6</c:f>
              <c:strCache>
                <c:ptCount val="5"/>
                <c:pt idx="0">
                  <c:v>[80000, 100000, 110000, 120000, 110000]</c:v>
                </c:pt>
                <c:pt idx="1">
                  <c:v>[80000, 90000, 110000, 120000, 150000]</c:v>
                </c:pt>
                <c:pt idx="2">
                  <c:v>[60000, 65000, 70000, 75000, 60000]</c:v>
                </c:pt>
                <c:pt idx="3">
                  <c:v>[50000, 65000, 75000, 80000, 90000]</c:v>
                </c:pt>
                <c:pt idx="4">
                  <c:v>[60000, 65000, 60000, 60000, 65000]</c:v>
                </c:pt>
              </c:strCache>
            </c:strRef>
          </c:cat>
          <c:val>
            <c:numRef>
              <c:f>Sheet2!$W$2:$W$6</c:f>
              <c:numCache>
                <c:formatCode>#,##0.00</c:formatCode>
                <c:ptCount val="5"/>
                <c:pt idx="0">
                  <c:v>4120046.14</c:v>
                </c:pt>
                <c:pt idx="1">
                  <c:v>3999365.12</c:v>
                </c:pt>
                <c:pt idx="2">
                  <c:v>3118058.26</c:v>
                </c:pt>
                <c:pt idx="3">
                  <c:v>3132840.38</c:v>
                </c:pt>
                <c:pt idx="4">
                  <c:v>2768424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8811052"/>
        <c:axId val="810860635"/>
      </c:barChart>
      <c:catAx>
        <c:axId val="64881105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860635"/>
        <c:crosses val="autoZero"/>
        <c:auto val="1"/>
        <c:lblAlgn val="ctr"/>
        <c:lblOffset val="100"/>
        <c:noMultiLvlLbl val="0"/>
      </c:catAx>
      <c:valAx>
        <c:axId val="810860635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8110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224790</xdr:colOff>
      <xdr:row>28</xdr:row>
      <xdr:rowOff>93345</xdr:rowOff>
    </xdr:from>
    <xdr:to>
      <xdr:col>5</xdr:col>
      <xdr:colOff>428625</xdr:colOff>
      <xdr:row>44</xdr:row>
      <xdr:rowOff>148590</xdr:rowOff>
    </xdr:to>
    <xdr:graphicFrame>
      <xdr:nvGraphicFramePr>
        <xdr:cNvPr id="4" name="Chart 3"/>
        <xdr:cNvGraphicFramePr/>
      </xdr:nvGraphicFramePr>
      <xdr:xfrm>
        <a:off x="1037590" y="6473825"/>
        <a:ext cx="7966710" cy="3631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286385</xdr:colOff>
      <xdr:row>10</xdr:row>
      <xdr:rowOff>170815</xdr:rowOff>
    </xdr:from>
    <xdr:to>
      <xdr:col>5</xdr:col>
      <xdr:colOff>398145</xdr:colOff>
      <xdr:row>27</xdr:row>
      <xdr:rowOff>52070</xdr:rowOff>
    </xdr:to>
    <xdr:graphicFrame>
      <xdr:nvGraphicFramePr>
        <xdr:cNvPr id="6" name="Chart 5"/>
        <xdr:cNvGraphicFramePr/>
      </xdr:nvGraphicFramePr>
      <xdr:xfrm>
        <a:off x="1099185" y="2527935"/>
        <a:ext cx="7874635" cy="3681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687705</xdr:colOff>
      <xdr:row>10</xdr:row>
      <xdr:rowOff>158750</xdr:rowOff>
    </xdr:from>
    <xdr:to>
      <xdr:col>9</xdr:col>
      <xdr:colOff>377825</xdr:colOff>
      <xdr:row>26</xdr:row>
      <xdr:rowOff>200660</xdr:rowOff>
    </xdr:to>
    <xdr:graphicFrame>
      <xdr:nvGraphicFramePr>
        <xdr:cNvPr id="7" name="Chart 6"/>
        <xdr:cNvGraphicFramePr/>
      </xdr:nvGraphicFramePr>
      <xdr:xfrm>
        <a:off x="9263380" y="2515870"/>
        <a:ext cx="7653020" cy="3618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497840</xdr:colOff>
      <xdr:row>11</xdr:row>
      <xdr:rowOff>23495</xdr:rowOff>
    </xdr:from>
    <xdr:to>
      <xdr:col>15</xdr:col>
      <xdr:colOff>788035</xdr:colOff>
      <xdr:row>27</xdr:row>
      <xdr:rowOff>85090</xdr:rowOff>
    </xdr:to>
    <xdr:graphicFrame>
      <xdr:nvGraphicFramePr>
        <xdr:cNvPr id="8" name="Chart 7"/>
        <xdr:cNvGraphicFramePr/>
      </xdr:nvGraphicFramePr>
      <xdr:xfrm>
        <a:off x="17036415" y="2604135"/>
        <a:ext cx="6497955" cy="3637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137795</xdr:colOff>
      <xdr:row>11</xdr:row>
      <xdr:rowOff>53340</xdr:rowOff>
    </xdr:from>
    <xdr:to>
      <xdr:col>21</xdr:col>
      <xdr:colOff>1099820</xdr:colOff>
      <xdr:row>27</xdr:row>
      <xdr:rowOff>97155</xdr:rowOff>
    </xdr:to>
    <xdr:graphicFrame>
      <xdr:nvGraphicFramePr>
        <xdr:cNvPr id="9" name="Chart 8"/>
        <xdr:cNvGraphicFramePr/>
      </xdr:nvGraphicFramePr>
      <xdr:xfrm>
        <a:off x="23696930" y="2633980"/>
        <a:ext cx="7662545" cy="3620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729615</xdr:colOff>
      <xdr:row>28</xdr:row>
      <xdr:rowOff>74295</xdr:rowOff>
    </xdr:from>
    <xdr:to>
      <xdr:col>9</xdr:col>
      <xdr:colOff>383540</xdr:colOff>
      <xdr:row>45</xdr:row>
      <xdr:rowOff>31750</xdr:rowOff>
    </xdr:to>
    <xdr:graphicFrame>
      <xdr:nvGraphicFramePr>
        <xdr:cNvPr id="10" name="Chart 9"/>
        <xdr:cNvGraphicFramePr/>
      </xdr:nvGraphicFramePr>
      <xdr:xfrm>
        <a:off x="9305290" y="6454775"/>
        <a:ext cx="7616825" cy="3757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zoomScale="70" zoomScaleNormal="70" workbookViewId="0">
      <selection activeCell="A1" sqref="A1:F33"/>
    </sheetView>
  </sheetViews>
  <sheetFormatPr defaultColWidth="11" defaultRowHeight="17.6" outlineLevelCol="6"/>
  <cols>
    <col min="1" max="1" width="49.1666666666667" customWidth="1"/>
    <col min="2" max="2" width="40.1666666666667" customWidth="1"/>
    <col min="3" max="3" width="38" customWidth="1"/>
    <col min="4" max="4" width="30.3333333333333" customWidth="1"/>
    <col min="5" max="5" width="34.5" customWidth="1"/>
    <col min="6" max="6" width="35" customWidth="1"/>
    <col min="7" max="7" width="47.6666666666667" customWidth="1"/>
    <col min="9" max="9" width="45.6666666666667" customWidth="1"/>
  </cols>
  <sheetData>
    <row r="1" ht="19.2" spans="1:6">
      <c r="A1" s="1"/>
      <c r="B1">
        <v>1</v>
      </c>
      <c r="C1">
        <v>2</v>
      </c>
      <c r="D1">
        <v>3</v>
      </c>
      <c r="E1">
        <v>4</v>
      </c>
      <c r="F1">
        <v>5</v>
      </c>
    </row>
    <row r="2" ht="19.2" spans="1:6">
      <c r="A2" s="1" t="s">
        <v>0</v>
      </c>
      <c r="B2" s="1" t="s">
        <v>1</v>
      </c>
      <c r="C2" s="1" t="s">
        <v>2</v>
      </c>
      <c r="D2" s="3" t="s">
        <v>3</v>
      </c>
      <c r="E2" s="1" t="s">
        <v>4</v>
      </c>
      <c r="F2" s="1" t="s">
        <v>5</v>
      </c>
    </row>
    <row r="3" ht="19.2" spans="1:7">
      <c r="A3" s="1" t="s">
        <v>6</v>
      </c>
      <c r="B3" s="1"/>
      <c r="C3" s="1"/>
      <c r="E3" s="1"/>
      <c r="G3" s="1"/>
    </row>
    <row r="4" ht="19.2" spans="1:7">
      <c r="A4" s="1" t="s">
        <v>7</v>
      </c>
      <c r="B4" s="1"/>
      <c r="C4" s="1"/>
      <c r="E4" s="1"/>
      <c r="G4" s="1"/>
    </row>
    <row r="5" ht="19.2" spans="1:6">
      <c r="A5" s="1" t="s">
        <v>8</v>
      </c>
      <c r="B5" s="2">
        <v>0.97506</v>
      </c>
      <c r="C5" s="2">
        <v>0.96779</v>
      </c>
      <c r="D5" s="2">
        <v>0.99562</v>
      </c>
      <c r="E5" s="2">
        <v>0.99336</v>
      </c>
      <c r="F5" s="2">
        <v>0.99916</v>
      </c>
    </row>
    <row r="6" ht="19.2" spans="1:6">
      <c r="A6" s="1" t="s">
        <v>9</v>
      </c>
      <c r="B6" s="2">
        <v>0.68656</v>
      </c>
      <c r="C6" s="2">
        <v>0.59435</v>
      </c>
      <c r="D6" s="2">
        <v>0.84076</v>
      </c>
      <c r="E6" s="2">
        <v>0.8549</v>
      </c>
      <c r="F6" s="2">
        <v>0.93599</v>
      </c>
    </row>
    <row r="7" ht="19.2" spans="1:6">
      <c r="A7" s="1" t="s">
        <v>10</v>
      </c>
      <c r="B7" s="1">
        <v>333</v>
      </c>
      <c r="C7" s="1">
        <v>364</v>
      </c>
      <c r="D7" s="1">
        <v>67</v>
      </c>
      <c r="E7" s="1">
        <v>93</v>
      </c>
      <c r="F7" s="1">
        <v>21</v>
      </c>
    </row>
    <row r="8" ht="19.2" spans="1:6">
      <c r="A8" s="1" t="s">
        <v>11</v>
      </c>
      <c r="B8" s="4">
        <v>6000367</v>
      </c>
      <c r="C8" s="4">
        <v>6654022.5</v>
      </c>
      <c r="D8" s="4">
        <v>3856381.5</v>
      </c>
      <c r="E8" s="4">
        <v>4168277.5</v>
      </c>
      <c r="F8" s="4">
        <v>3776216</v>
      </c>
    </row>
    <row r="9" ht="19.2" spans="1:6">
      <c r="A9" s="1" t="s">
        <v>12</v>
      </c>
      <c r="B9" s="2">
        <v>0.6969</v>
      </c>
      <c r="C9" s="2">
        <v>0.6956</v>
      </c>
      <c r="D9" s="2">
        <v>0.7003</v>
      </c>
      <c r="E9" s="2">
        <v>0.6997</v>
      </c>
      <c r="F9" s="2">
        <v>0.7013</v>
      </c>
    </row>
    <row r="10" ht="19.2" spans="1:6">
      <c r="A10" s="1" t="s">
        <v>13</v>
      </c>
      <c r="B10" s="1"/>
      <c r="C10" s="1"/>
      <c r="D10" s="1"/>
      <c r="E10" s="1"/>
      <c r="F10" s="1"/>
    </row>
    <row r="11" ht="19.2" spans="1:6">
      <c r="A11" s="1" t="s">
        <v>14</v>
      </c>
      <c r="B11" s="1"/>
      <c r="C11" s="1"/>
      <c r="D11" s="1"/>
      <c r="E11" s="1"/>
      <c r="F11" s="1"/>
    </row>
    <row r="12" ht="19.2" spans="1:6">
      <c r="A12" s="1" t="s">
        <v>15</v>
      </c>
      <c r="B12" s="4">
        <v>5716148.2</v>
      </c>
      <c r="C12" s="4">
        <v>5809014.2</v>
      </c>
      <c r="D12" s="4">
        <v>3769679.35</v>
      </c>
      <c r="E12" s="4">
        <v>3902090.65</v>
      </c>
      <c r="F12" s="4">
        <v>3283558.85</v>
      </c>
    </row>
    <row r="13" ht="19.2" spans="1:6">
      <c r="A13" s="1" t="s">
        <v>16</v>
      </c>
      <c r="B13" s="4">
        <v>611400.23</v>
      </c>
      <c r="C13" s="4">
        <v>616437.6</v>
      </c>
      <c r="D13" s="4">
        <v>518260.21</v>
      </c>
      <c r="E13" s="4">
        <v>524699.16</v>
      </c>
      <c r="F13" s="4">
        <v>495348.96</v>
      </c>
    </row>
    <row r="14" ht="19.2" spans="1:6">
      <c r="A14" s="1" t="s">
        <v>17</v>
      </c>
      <c r="B14" s="4">
        <v>5104747.97</v>
      </c>
      <c r="C14" s="4">
        <v>5192576.6</v>
      </c>
      <c r="D14" s="4">
        <v>3251419.14</v>
      </c>
      <c r="E14" s="4">
        <v>3377391.49</v>
      </c>
      <c r="F14" s="4">
        <v>2788209.89</v>
      </c>
    </row>
    <row r="15" ht="19.2" spans="1:6">
      <c r="A15" s="1" t="s">
        <v>18</v>
      </c>
      <c r="B15" s="2">
        <v>0.0072</v>
      </c>
      <c r="C15" s="2">
        <v>0.0088</v>
      </c>
      <c r="D15" s="2">
        <v>0.0021</v>
      </c>
      <c r="E15" s="2">
        <v>0.0025</v>
      </c>
      <c r="F15" s="2">
        <v>0.0007</v>
      </c>
    </row>
    <row r="16" ht="19.2" spans="1:6">
      <c r="A16" s="1" t="s">
        <v>13</v>
      </c>
      <c r="B16" s="1"/>
      <c r="C16" s="1"/>
      <c r="D16" s="1"/>
      <c r="E16" s="1"/>
      <c r="F16" s="1"/>
    </row>
    <row r="17" ht="19.2" spans="1:6">
      <c r="A17" s="1" t="s">
        <v>19</v>
      </c>
      <c r="B17" s="5">
        <v>4490041.98</v>
      </c>
      <c r="C17" s="5">
        <v>4357617.82</v>
      </c>
      <c r="D17" s="5">
        <v>3241475.59</v>
      </c>
      <c r="E17" s="5">
        <v>3317581.51</v>
      </c>
      <c r="F17" s="5">
        <v>2780074.53</v>
      </c>
    </row>
    <row r="19" ht="19.2" spans="1:6">
      <c r="A19" s="1" t="s">
        <v>20</v>
      </c>
      <c r="B19" s="1"/>
      <c r="C19" s="1"/>
      <c r="D19" s="1"/>
      <c r="E19" s="1"/>
      <c r="F19" s="1"/>
    </row>
    <row r="20" ht="19.2" spans="1:6">
      <c r="A20" s="1" t="s">
        <v>7</v>
      </c>
      <c r="B20" s="1"/>
      <c r="C20" s="1"/>
      <c r="D20" s="1"/>
      <c r="E20" s="1"/>
      <c r="F20" s="1"/>
    </row>
    <row r="21" ht="19.2" spans="1:6">
      <c r="A21" s="1" t="s">
        <v>21</v>
      </c>
      <c r="B21" s="2">
        <v>0.96503</v>
      </c>
      <c r="C21" s="2">
        <v>0.95807</v>
      </c>
      <c r="D21" s="2">
        <v>0.99159</v>
      </c>
      <c r="E21" s="2">
        <v>0.98812</v>
      </c>
      <c r="F21" s="2">
        <v>0.99698</v>
      </c>
    </row>
    <row r="22" ht="19.2" spans="1:6">
      <c r="A22" s="1" t="s">
        <v>9</v>
      </c>
      <c r="B22" s="2">
        <v>0.73181</v>
      </c>
      <c r="C22" s="2">
        <v>0.64531</v>
      </c>
      <c r="D22" s="2">
        <v>0.83541</v>
      </c>
      <c r="E22" s="2">
        <v>0.83007</v>
      </c>
      <c r="F22" s="2">
        <v>0.90829</v>
      </c>
    </row>
    <row r="23" ht="19.2" spans="1:6">
      <c r="A23" s="1" t="s">
        <v>10</v>
      </c>
      <c r="B23" s="1">
        <v>566</v>
      </c>
      <c r="C23" s="1">
        <v>581</v>
      </c>
      <c r="D23" s="1">
        <v>184</v>
      </c>
      <c r="E23" s="1">
        <v>230</v>
      </c>
      <c r="F23" s="1">
        <v>96</v>
      </c>
    </row>
    <row r="24" ht="19.2" spans="1:6">
      <c r="A24" s="1" t="s">
        <v>11</v>
      </c>
      <c r="B24" s="4">
        <v>5964260</v>
      </c>
      <c r="C24" s="4">
        <v>6625712</v>
      </c>
      <c r="D24" s="4">
        <v>3845861</v>
      </c>
      <c r="E24" s="4">
        <v>4154657</v>
      </c>
      <c r="F24" s="4">
        <v>3771436.5</v>
      </c>
    </row>
    <row r="25" ht="19.2" spans="1:6">
      <c r="A25" s="1" t="s">
        <v>12</v>
      </c>
      <c r="B25" s="2">
        <v>0.6958</v>
      </c>
      <c r="C25" s="2">
        <v>0.6949</v>
      </c>
      <c r="D25" s="2">
        <v>0.6995</v>
      </c>
      <c r="E25" s="2">
        <v>0.6986</v>
      </c>
      <c r="F25" s="2">
        <v>0.7005</v>
      </c>
    </row>
    <row r="26" ht="19.2" spans="1:6">
      <c r="A26" s="1" t="s">
        <v>13</v>
      </c>
      <c r="B26" s="1"/>
      <c r="C26" s="1"/>
      <c r="D26" s="1"/>
      <c r="E26" s="1"/>
      <c r="F26" s="1"/>
    </row>
    <row r="27" ht="19.2" spans="1:6">
      <c r="A27" s="1" t="s">
        <v>14</v>
      </c>
      <c r="B27" s="1"/>
      <c r="C27" s="1"/>
      <c r="D27" s="1"/>
      <c r="E27" s="1"/>
      <c r="F27" s="1"/>
    </row>
    <row r="28" ht="19.2" spans="1:6">
      <c r="A28" s="1" t="s">
        <v>15</v>
      </c>
      <c r="B28" s="4">
        <v>5653971.95</v>
      </c>
      <c r="C28" s="4">
        <v>5748059.85</v>
      </c>
      <c r="D28" s="4">
        <v>3752902.9</v>
      </c>
      <c r="E28" s="4">
        <v>3879728.2</v>
      </c>
      <c r="F28" s="4">
        <v>3275310.85</v>
      </c>
    </row>
    <row r="29" ht="19.2" spans="1:6">
      <c r="A29" s="1" t="s">
        <v>16</v>
      </c>
      <c r="B29" s="4">
        <v>616539.33</v>
      </c>
      <c r="C29" s="4">
        <v>621369.07</v>
      </c>
      <c r="D29" s="4">
        <v>521080.33</v>
      </c>
      <c r="E29" s="4">
        <v>528037.27</v>
      </c>
      <c r="F29" s="4">
        <v>497230.53</v>
      </c>
    </row>
    <row r="30" ht="19.2" spans="1:6">
      <c r="A30" s="1" t="s">
        <v>17</v>
      </c>
      <c r="B30" s="4">
        <v>5037432.62</v>
      </c>
      <c r="C30" s="4">
        <v>5126690.78</v>
      </c>
      <c r="D30" s="4">
        <v>3231822.57</v>
      </c>
      <c r="E30" s="4">
        <v>3351690.93</v>
      </c>
      <c r="F30" s="4">
        <v>2778080.32</v>
      </c>
    </row>
    <row r="31" ht="19.2" spans="1:6">
      <c r="A31" s="1" t="s">
        <v>18</v>
      </c>
      <c r="B31" s="2">
        <v>0.0085</v>
      </c>
      <c r="C31" s="2">
        <v>0.0095</v>
      </c>
      <c r="D31" s="2">
        <v>0.0032</v>
      </c>
      <c r="E31" s="2">
        <v>0.004</v>
      </c>
      <c r="F31" s="2">
        <v>0.0018</v>
      </c>
    </row>
    <row r="32" ht="19.2" spans="1:6">
      <c r="A32" s="1" t="s">
        <v>13</v>
      </c>
      <c r="B32" s="1"/>
      <c r="C32" s="1"/>
      <c r="D32" s="1"/>
      <c r="E32" s="1"/>
      <c r="F32" s="1"/>
    </row>
    <row r="33" ht="19.2" spans="1:6">
      <c r="A33" s="1" t="s">
        <v>19</v>
      </c>
      <c r="B33" s="5">
        <v>4120046.14</v>
      </c>
      <c r="C33" s="5">
        <v>3999365.12</v>
      </c>
      <c r="D33" s="5">
        <v>3118058.26</v>
      </c>
      <c r="E33" s="5">
        <v>3132840.38</v>
      </c>
      <c r="F33" s="5">
        <v>2768424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50" zoomScaleNormal="50" workbookViewId="0">
      <selection activeCell="O45" sqref="O45"/>
    </sheetView>
  </sheetViews>
  <sheetFormatPr defaultColWidth="8.88888888888889" defaultRowHeight="17.6" outlineLevelRow="5"/>
  <cols>
    <col min="2" max="2" width="37.2430555555556" customWidth="1"/>
    <col min="4" max="4" width="29.875" customWidth="1"/>
    <col min="6" max="6" width="27.5625" customWidth="1"/>
    <col min="7" max="7" width="15.1666666666667"/>
    <col min="8" max="8" width="29.3541666666667" customWidth="1"/>
    <col min="9" max="10" width="15"/>
    <col min="12" max="13" width="13.1111111111111"/>
    <col min="17" max="18" width="15"/>
    <col min="19" max="19" width="13.2777777777778"/>
    <col min="20" max="21" width="15"/>
    <col min="22" max="22" width="13.2777777777778"/>
    <col min="23" max="23" width="15"/>
    <col min="26" max="26" width="13.1111111111111"/>
  </cols>
  <sheetData>
    <row r="1" ht="19.2" spans="1:27">
      <c r="A1" s="1"/>
      <c r="B1" s="1" t="s">
        <v>0</v>
      </c>
      <c r="C1" s="1"/>
      <c r="D1" s="1" t="s">
        <v>22</v>
      </c>
      <c r="E1" s="1"/>
      <c r="F1" s="1" t="s">
        <v>23</v>
      </c>
      <c r="H1" s="1" t="s">
        <v>24</v>
      </c>
      <c r="I1" s="1" t="s">
        <v>25</v>
      </c>
      <c r="J1" s="1" t="s">
        <v>26</v>
      </c>
      <c r="L1" s="1" t="s">
        <v>27</v>
      </c>
      <c r="O1" s="1" t="s">
        <v>28</v>
      </c>
      <c r="Q1" s="1" t="s">
        <v>29</v>
      </c>
      <c r="R1" s="1"/>
      <c r="S1" s="1" t="s">
        <v>30</v>
      </c>
      <c r="T1" s="1" t="s">
        <v>31</v>
      </c>
      <c r="U1" s="1" t="s">
        <v>32</v>
      </c>
      <c r="V1" s="1"/>
      <c r="W1" s="1" t="s">
        <v>33</v>
      </c>
      <c r="AA1" s="1"/>
    </row>
    <row r="2" ht="19.2" spans="1:27">
      <c r="A2">
        <v>1</v>
      </c>
      <c r="B2" s="1" t="s">
        <v>1</v>
      </c>
      <c r="C2" s="1"/>
      <c r="D2" s="2">
        <v>0.6969</v>
      </c>
      <c r="E2" s="1"/>
      <c r="F2" s="4">
        <v>5716148.2</v>
      </c>
      <c r="H2" s="4">
        <v>611400.23</v>
      </c>
      <c r="I2" s="4">
        <v>5104747.97</v>
      </c>
      <c r="J2" s="2">
        <v>0.0072</v>
      </c>
      <c r="L2" s="5">
        <v>4490041.98</v>
      </c>
      <c r="O2" s="2">
        <v>0.6958</v>
      </c>
      <c r="Q2" s="4">
        <v>5653971.95</v>
      </c>
      <c r="R2" s="1"/>
      <c r="S2" s="4">
        <v>616539.33</v>
      </c>
      <c r="T2" s="4">
        <v>5037432.62</v>
      </c>
      <c r="U2" s="2">
        <v>0.0085</v>
      </c>
      <c r="V2" s="1"/>
      <c r="W2" s="5">
        <v>4120046.14</v>
      </c>
      <c r="AA2" s="1"/>
    </row>
    <row r="3" ht="19.2" spans="1:27">
      <c r="A3">
        <v>2</v>
      </c>
      <c r="B3" s="1" t="s">
        <v>2</v>
      </c>
      <c r="C3" s="1"/>
      <c r="D3" s="2">
        <v>0.6956</v>
      </c>
      <c r="E3" s="1"/>
      <c r="F3" s="4">
        <v>5809014.2</v>
      </c>
      <c r="H3" s="4">
        <v>616437.6</v>
      </c>
      <c r="I3" s="4">
        <v>5192576.6</v>
      </c>
      <c r="J3" s="2">
        <v>0.0088</v>
      </c>
      <c r="L3" s="5">
        <v>4357617.82</v>
      </c>
      <c r="O3" s="2">
        <v>0.6949</v>
      </c>
      <c r="Q3" s="4">
        <v>5748059.85</v>
      </c>
      <c r="R3" s="1"/>
      <c r="S3" s="4">
        <v>621369.07</v>
      </c>
      <c r="T3" s="4">
        <v>5126690.78</v>
      </c>
      <c r="U3" s="2">
        <v>0.0095</v>
      </c>
      <c r="V3" s="1"/>
      <c r="W3" s="5">
        <v>3999365.12</v>
      </c>
      <c r="AA3" s="1"/>
    </row>
    <row r="4" ht="19.2" spans="1:27">
      <c r="A4">
        <v>3</v>
      </c>
      <c r="B4" s="3" t="s">
        <v>3</v>
      </c>
      <c r="D4" s="2">
        <v>0.7003</v>
      </c>
      <c r="E4" s="1"/>
      <c r="F4" s="4">
        <v>3769679.35</v>
      </c>
      <c r="H4" s="4">
        <v>518260.21</v>
      </c>
      <c r="I4" s="4">
        <v>3251419.14</v>
      </c>
      <c r="J4" s="2">
        <v>0.0021</v>
      </c>
      <c r="L4" s="5">
        <v>3241475.59</v>
      </c>
      <c r="O4" s="2">
        <v>0.6995</v>
      </c>
      <c r="Q4" s="4">
        <v>3752902.9</v>
      </c>
      <c r="R4" s="1"/>
      <c r="S4" s="4">
        <v>521080.33</v>
      </c>
      <c r="T4" s="4">
        <v>3231822.57</v>
      </c>
      <c r="U4" s="2">
        <v>0.0032</v>
      </c>
      <c r="V4" s="1"/>
      <c r="W4" s="5">
        <v>3118058.26</v>
      </c>
      <c r="AA4" s="1"/>
    </row>
    <row r="5" ht="19.2" spans="1:27">
      <c r="A5">
        <v>4</v>
      </c>
      <c r="B5" s="1" t="s">
        <v>4</v>
      </c>
      <c r="C5" s="1"/>
      <c r="D5" s="2">
        <v>0.6997</v>
      </c>
      <c r="E5" s="1"/>
      <c r="F5" s="4">
        <v>3902090.65</v>
      </c>
      <c r="H5" s="4">
        <v>524699.16</v>
      </c>
      <c r="I5" s="4">
        <v>3377391.49</v>
      </c>
      <c r="J5" s="2">
        <v>0.0025</v>
      </c>
      <c r="L5" s="5">
        <v>3317581.51</v>
      </c>
      <c r="O5" s="2">
        <v>0.6986</v>
      </c>
      <c r="Q5" s="4">
        <v>3879728.2</v>
      </c>
      <c r="R5" s="1"/>
      <c r="S5" s="4">
        <v>528037.27</v>
      </c>
      <c r="T5" s="4">
        <v>3351690.93</v>
      </c>
      <c r="U5" s="2">
        <v>0.004</v>
      </c>
      <c r="V5" s="1"/>
      <c r="W5" s="5">
        <v>3132840.38</v>
      </c>
      <c r="AA5" s="1"/>
    </row>
    <row r="6" ht="19.2" spans="1:27">
      <c r="A6">
        <v>5</v>
      </c>
      <c r="B6" s="1" t="s">
        <v>5</v>
      </c>
      <c r="D6" s="2">
        <v>0.7013</v>
      </c>
      <c r="E6" s="1"/>
      <c r="F6" s="4">
        <v>3283558.85</v>
      </c>
      <c r="H6" s="4">
        <v>495348.96</v>
      </c>
      <c r="I6" s="4">
        <v>2788209.89</v>
      </c>
      <c r="J6" s="2">
        <v>0.0007</v>
      </c>
      <c r="L6" s="5">
        <v>2780074.53</v>
      </c>
      <c r="O6" s="2">
        <v>0.7005</v>
      </c>
      <c r="Q6" s="4">
        <v>3275310.85</v>
      </c>
      <c r="R6" s="1"/>
      <c r="S6" s="4">
        <v>497230.53</v>
      </c>
      <c r="T6" s="4">
        <v>2778080.32</v>
      </c>
      <c r="U6" s="2">
        <v>0.0018</v>
      </c>
      <c r="V6" s="1"/>
      <c r="W6" s="5">
        <v>2768424</v>
      </c>
      <c r="AA6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Xinkai</dc:creator>
  <cp:lastModifiedBy>凯昕</cp:lastModifiedBy>
  <dcterms:created xsi:type="dcterms:W3CDTF">2025-10-19T10:56:00Z</dcterms:created>
  <dcterms:modified xsi:type="dcterms:W3CDTF">2025-10-19T19:45:48Z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1033-6.0.1.8148</vt:lpwstr>
  </property>
  <property fmtid="{D5CDD505-2E9C-101B-9397-08002B2CF9AE}" pid="3" name="ICV">
    <vt:lpwstr>86B2FB3162A083B3315DF56874EBBDF2_42</vt:lpwstr>
  </property>
</Properties>
</file>